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latform_Summary" sheetId="2" state="visible" r:id="rId4"/>
    <sheet name="AB_Test_Results" sheetId="3" state="visible" r:id="rId5"/>
    <sheet name="Reallocation_Plan" sheetId="4" state="visible" r:id="rId6"/>
    <sheet name="Insights_Repor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<sst xmlns="http://schemas.openxmlformats.org/spreadsheetml/2006/main" count="67" uniqueCount="59">
  <si>
    <t xml:space="preserve">Multi-Platform Quick-Commerce Ad Campaign — Q-Plan Simulation</t>
  </si>
  <si>
    <t xml:space="preserve">Mock end-to-end campaign project across Blinkit, Amazon, and Flipkart Ads | Practice project for BA Intern interview</t>
  </si>
  <si>
    <t xml:space="preserve">Project Scope:</t>
  </si>
  <si>
    <t xml:space="preserve">Simulates managing a ₹3,00,000 monthly ad budget across 3 platforms — includes A/B creative testing, platform-level ROAS comparison, and a final budget reallocation plan with projected impact.</t>
  </si>
  <si>
    <t xml:space="preserve">Total Monthly Budget</t>
  </si>
  <si>
    <t xml:space="preserve">Total Conversions (Current)</t>
  </si>
  <si>
    <t xml:space="preserve">Blended ROAS (Current)</t>
  </si>
  <si>
    <t xml:space="preserve">Projected ROAS (After Reallocation)</t>
  </si>
  <si>
    <t xml:space="preserve">How to read this workbook:</t>
  </si>
  <si>
    <t xml:space="preserve">1. Platform_Summary — current performance across Blinkit, Amazon, Flipkart</t>
  </si>
  <si>
    <t xml:space="preserve">2. AB_Test_Results — creative A vs B test run on the weakest platform</t>
  </si>
  <si>
    <t xml:space="preserve">3. Reallocation_Plan — proposed new budget split and projected impact</t>
  </si>
  <si>
    <t xml:space="preserve">4. Insights_Report — the written recommendation, as if presenting to a manager</t>
  </si>
  <si>
    <t xml:space="preserve">Current Platform Performance — Month 1</t>
  </si>
  <si>
    <t xml:space="preserve">Platform</t>
  </si>
  <si>
    <t xml:space="preserve">Budget (₹)</t>
  </si>
  <si>
    <t xml:space="preserve">Impressions</t>
  </si>
  <si>
    <t xml:space="preserve">Clicks</t>
  </si>
  <si>
    <t xml:space="preserve">CTR (%)</t>
  </si>
  <si>
    <t xml:space="preserve">Conversions</t>
  </si>
  <si>
    <t xml:space="preserve">ROAS</t>
  </si>
  <si>
    <t xml:space="preserve">Avg Order Value (₹)</t>
  </si>
  <si>
    <t xml:space="preserve">Blinkit</t>
  </si>
  <si>
    <t xml:space="preserve">Amazon</t>
  </si>
  <si>
    <t xml:space="preserve">Flipkart</t>
  </si>
  <si>
    <t xml:space="preserve">TOTAL / BLENDED</t>
  </si>
  <si>
    <t xml:space="preserve">(reference values used by Executive Summary tab — same as totals row above)</t>
  </si>
  <si>
    <t xml:space="preserve">A/B Creative Test — Flipkart (Lowest ROAS Platform)</t>
  </si>
  <si>
    <t xml:space="preserve">Flipkart had the weakest ROAS in Month 1, so we tested two ad creatives over a 2-week period to see which improves performance before reallocating budget.</t>
  </si>
  <si>
    <t xml:space="preserve">Creative</t>
  </si>
  <si>
    <t xml:space="preserve">Conv. Rate (%)</t>
  </si>
  <si>
    <t xml:space="preserve">Winner?</t>
  </si>
  <si>
    <t xml:space="preserve">Creative A — Discount-led banner ("Flat 20% off")</t>
  </si>
  <si>
    <t xml:space="preserve">Creative B — Speed-led banner ("Delivered in 10 min")</t>
  </si>
  <si>
    <t xml:space="preserve">Statistical note:</t>
  </si>
  <si>
    <t xml:space="preserve">Creative B shows a meaningfully higher conversion rate with an equal sample size (130K impressions each), so the difference is unlikely to be due to chance alone.</t>
  </si>
  <si>
    <t xml:space="preserve">Proposed Budget Reallocation — Month 2</t>
  </si>
  <si>
    <t xml:space="preserve">Based on Month 1 ROAS and the winning A/B creative, here is the proposed new budget split (same total ₹3,00,000 budget) and projected impact.</t>
  </si>
  <si>
    <t xml:space="preserve">Current Budget (₹)</t>
  </si>
  <si>
    <t xml:space="preserve">Proposed Budget (₹)</t>
  </si>
  <si>
    <t xml:space="preserve">Change (%)</t>
  </si>
  <si>
    <t xml:space="preserve">Current ROAS</t>
  </si>
  <si>
    <t xml:space="preserve">Assumed New ROAS</t>
  </si>
  <si>
    <t xml:space="preserve">Projected Conversions</t>
  </si>
  <si>
    <t xml:space="preserve">TOTAL</t>
  </si>
  <si>
    <t xml:space="preserve">Blended projected ROAS (ref for summary):</t>
  </si>
  <si>
    <t xml:space="preserve">Manager-Facing Summary</t>
  </si>
  <si>
    <t xml:space="preserve">1. Current state:</t>
  </si>
  <si>
    <t xml:space="preserve">Blinkit delivers the strongest ROAS of the three platforms, Amazon is mid-tier, and Flipkart is the weakest performer despite a meaningful ₹80,000 budget — conversions there are too low for the spend.</t>
  </si>
  <si>
    <t xml:space="preserve">2. A/B test finding:</t>
  </si>
  <si>
    <t xml:space="preserve">On Flipkart, a speed-led creative ("Delivered in 10 min") outperformed a discount-led creative on conversion rate, at equal impression volume. Messaging around speed resonates more than a generic discount for this platform's audience.</t>
  </si>
  <si>
    <t xml:space="preserve">3. Action taken:</t>
  </si>
  <si>
    <t xml:space="preserve">Proposed shifting ₹30,000 from Flipkart to Blinkit (the strongest platform), while keeping a smaller, more efficient Flipkart budget running the winning creative — rather than cutting Flipkart entirely.</t>
  </si>
  <si>
    <t xml:space="preserve">4. Projected impact:</t>
  </si>
  <si>
    <t xml:space="preserve">This reallocation is projected to lift blended ROAS while keeping the same total monthly budget — same spend, better return, based on Month 1 data and A/B test results.</t>
  </si>
  <si>
    <t xml:space="preserve">5. Next step if this were real:</t>
  </si>
  <si>
    <t xml:space="preserve">Run the new budget split for 2 weeks, re-measure ROAS per platform, and confirm the Flipkart creative win holds at full budget before making it permanent.</t>
  </si>
  <si>
    <t xml:space="preserve">How I'd explain this in an interview:</t>
  </si>
  <si>
    <t xml:space="preserve">This project simulates owning a full campaign cycle rather than just analyzing one slice of data: I compared performance across three platforms, ran an A/B test on the weakest one to find out why it was underperforming, then used both findings to build a new budget plan with a projected ROAS improvement. It's meant to mirror the 'full ownership of execution' part of the JD — going from raw numbers to an actual decision, the way I'd expect to do day-to-day in this role.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</si>
</sst>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"/>
    <numFmt numFmtId="166" formatCode="General"/>
    <numFmt numFmtId="167" formatCode="0.00\x"/>
    <numFmt numFmtId="168" formatCode="0.00%"/>
    <numFmt numFmtId="169" formatCode="\+0.0%;\-0.0%"/>
    <numFmt numFmtId="170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DCE6F1"/>
        <bgColor rgb="FFE2F0D9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ROAS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Platform_Summary!G3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Platform_Summary!$A$4:$A$6</c:f>
              <c:strCache>
                <c:ptCount val="3"/>
                <c:pt idx="0">
                  <c:v>Blinkit</c:v>
                </c:pt>
                <c:pt idx="1">
                  <c:v>Amazon</c:v>
                </c:pt>
                <c:pt idx="2">
                  <c:v>Flipkart</c:v>
                </c:pt>
              </c:strCache>
            </c:strRef>
          </c:cat>
          <c:val>
            <c:numRef>
              <c:f>Platform_Summary!$G$4:$G$6</c:f>
              <c:numCache>
                <c:formatCode>0.00\x</c:formatCode>
                <c:ptCount val="3"/>
                <c:pt idx="0">
                  <c:v>0.329666666666667</c:v>
                </c:pt>
                <c:pt idx="1">
                  <c:v>0.3111</c:v>
                </c:pt>
                <c:pt idx="2">
                  <c:v>0.19975</c:v>
                </c:pt>
              </c:numCache>
            </c:numRef>
          </c:val>
        </c:ser>
        <c:gapWidth val="150"/>
        <c:overlap val="0"/>
        <c:axId val="97166267"/>
        <c:axId val="20064357"/>
      </c:barChart>
      <c:catAx>
        <c:axId val="97166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64357"/>
        <c:crosses val="autoZero"/>
        <c:auto val="1"/>
        <c:lblAlgn val="ctr"/>
        <c:lblOffset val="100"/>
        <c:noMultiLvlLbl val="0"/>
      </c:catAx>
      <c:valAx>
        <c:axId val="200643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662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Proposed Budget Split (Month 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Reallocation_Plan!C4</c:f>
              <c:strCache>
                <c:ptCount val="1"/>
                <c:pt idx="0">
                  <c:v>Proposed Budget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Reallocation_Plan!$A$5:$A$7</c:f>
              <c:strCache>
                <c:ptCount val="3"/>
                <c:pt idx="0">
                  <c:v>Blinkit</c:v>
                </c:pt>
                <c:pt idx="1">
                  <c:v>Amazon</c:v>
                </c:pt>
                <c:pt idx="2">
                  <c:v>Flipkart</c:v>
                </c:pt>
              </c:strCache>
            </c:strRef>
          </c:cat>
          <c:val>
            <c:numRef>
              <c:f>Reallocation_Plan!$C$5:$C$7</c:f>
              <c:numCache>
                <c:formatCode>\₹#,##0</c:formatCode>
                <c:ptCount val="3"/>
                <c:pt idx="0">
                  <c:v>150000</c:v>
                </c:pt>
                <c:pt idx="1">
                  <c:v>100000</c:v>
                </c:pt>
                <c:pt idx="2">
                  <c:v>50000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10080</xdr:rowOff>
    </xdr:from>
    <xdr:to>
      <xdr:col>7</xdr:col>
      <xdr:colOff>50400</xdr:colOff>
      <xdr:row>27</xdr:row>
      <xdr:rowOff>11520</xdr:rowOff>
    </xdr:to>
    <xdr:graphicFrame>
      <xdr:nvGraphicFramePr>
        <xdr:cNvPr id="0" name="Chart 1"/>
        <xdr:cNvGraphicFramePr/>
      </xdr:nvGraphicFramePr>
      <xdr:xfrm>
        <a:off x="0" y="2095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10080</xdr:rowOff>
    </xdr:from>
    <xdr:to>
      <xdr:col>4</xdr:col>
      <xdr:colOff>231480</xdr:colOff>
      <xdr:row>24</xdr:row>
      <xdr:rowOff>32040</xdr:rowOff>
    </xdr:to>
    <xdr:graphicFrame>
      <xdr:nvGraphicFramePr>
        <xdr:cNvPr id="1" name="Chart 1"/>
        <xdr:cNvGraphicFramePr/>
      </xdr:nvGraphicFramePr>
      <xdr:xfrm>
        <a:off x="0" y="20667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6" customFormat="false" ht="15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  <c r="G6" s="5" t="s">
        <v>7</v>
      </c>
      <c r="H6" s="5"/>
    </row>
    <row r="7" customFormat="false" ht="25.5" hidden="false" customHeight="true" outlineLevel="0" collapsed="false">
      <c r="A7" s="6" t="n">
        <f aca="false">Platform_Summary!B9</f>
        <v>300000</v>
      </c>
      <c r="B7" s="6"/>
      <c r="C7" s="7" t="n">
        <f aca="false">Platform_Summary!F9</f>
        <v>187</v>
      </c>
      <c r="D7" s="7"/>
      <c r="E7" s="8" t="n">
        <f aca="false">Platform_Summary!G9</f>
        <v>0.288833333333333</v>
      </c>
      <c r="F7" s="8"/>
      <c r="G7" s="8" t="n">
        <f aca="false">Reallocation_Plan!G9</f>
        <v>0.330041666666667</v>
      </c>
      <c r="H7" s="8"/>
    </row>
    <row r="9" customFormat="false" ht="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9" t="s">
        <v>9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 t="s">
        <v>10</v>
      </c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 t="s">
        <v>12</v>
      </c>
      <c r="B13" s="9"/>
      <c r="C13" s="9"/>
      <c r="D13" s="9"/>
      <c r="E13" s="9"/>
      <c r="F13" s="9"/>
      <c r="G13" s="9"/>
      <c r="H13" s="9"/>
    </row>
  </sheetData>
  <mergeCells count="15">
    <mergeCell ref="A1:H1"/>
    <mergeCell ref="A2:H2"/>
    <mergeCell ref="B4:H4"/>
    <mergeCell ref="A6:B6"/>
    <mergeCell ref="C6:D6"/>
    <mergeCell ref="E6:F6"/>
    <mergeCell ref="G6:H6"/>
    <mergeCell ref="A7:B7"/>
    <mergeCell ref="C7:D7"/>
    <mergeCell ref="E7:F7"/>
    <mergeCell ref="G7:H7"/>
    <mergeCell ref="A10:H10"/>
    <mergeCell ref="A11:H1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13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10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</row>
    <row r="4" customFormat="false" ht="15" hidden="false" customHeight="false" outlineLevel="0" collapsed="false">
      <c r="A4" s="11" t="s">
        <v>22</v>
      </c>
      <c r="B4" s="12" t="n">
        <v>120000</v>
      </c>
      <c r="C4" s="13" t="n">
        <v>480000</v>
      </c>
      <c r="D4" s="13" t="n">
        <v>14200</v>
      </c>
      <c r="E4" s="14" t="n">
        <f aca="false">D4/C4</f>
        <v>0.0295833333333333</v>
      </c>
      <c r="F4" s="13" t="n">
        <v>92</v>
      </c>
      <c r="G4" s="15" t="n">
        <f aca="false">(F4*H4)/B4</f>
        <v>0.329666666666667</v>
      </c>
      <c r="H4" s="16" t="n">
        <v>430</v>
      </c>
    </row>
    <row r="5" customFormat="false" ht="15" hidden="false" customHeight="false" outlineLevel="0" collapsed="false">
      <c r="A5" s="11" t="s">
        <v>23</v>
      </c>
      <c r="B5" s="12" t="n">
        <v>100000</v>
      </c>
      <c r="C5" s="13" t="n">
        <v>350000</v>
      </c>
      <c r="D5" s="13" t="n">
        <v>9800</v>
      </c>
      <c r="E5" s="14" t="n">
        <f aca="false">D5/C5</f>
        <v>0.028</v>
      </c>
      <c r="F5" s="13" t="n">
        <v>61</v>
      </c>
      <c r="G5" s="15" t="n">
        <f aca="false">(F5*H5)/B5</f>
        <v>0.3111</v>
      </c>
      <c r="H5" s="16" t="n">
        <v>510</v>
      </c>
    </row>
    <row r="6" customFormat="false" ht="15" hidden="false" customHeight="false" outlineLevel="0" collapsed="false">
      <c r="A6" s="11" t="s">
        <v>24</v>
      </c>
      <c r="B6" s="12" t="n">
        <v>80000</v>
      </c>
      <c r="C6" s="13" t="n">
        <v>260000</v>
      </c>
      <c r="D6" s="13" t="n">
        <v>6100</v>
      </c>
      <c r="E6" s="14" t="n">
        <f aca="false">D6/C6</f>
        <v>0.0234615384615385</v>
      </c>
      <c r="F6" s="13" t="n">
        <v>34</v>
      </c>
      <c r="G6" s="15" t="n">
        <f aca="false">(F6*H6)/B6</f>
        <v>0.19975</v>
      </c>
      <c r="H6" s="16" t="n">
        <v>470</v>
      </c>
    </row>
    <row r="7" customFormat="false" ht="15" hidden="false" customHeight="false" outlineLevel="0" collapsed="false">
      <c r="A7" s="17" t="s">
        <v>25</v>
      </c>
      <c r="B7" s="18" t="n">
        <f aca="false">SUM(B4:B6)</f>
        <v>300000</v>
      </c>
      <c r="C7" s="17" t="n">
        <f aca="false">SUM(C4:C6)</f>
        <v>1090000</v>
      </c>
      <c r="D7" s="17" t="n">
        <f aca="false">SUM(D4:D6)</f>
        <v>30100</v>
      </c>
      <c r="E7" s="19" t="n">
        <f aca="false">D7/C7</f>
        <v>0.0276146788990826</v>
      </c>
      <c r="F7" s="17" t="n">
        <f aca="false">SUM(F4:F6)</f>
        <v>187</v>
      </c>
      <c r="G7" s="20" t="n">
        <f aca="false">SUMPRODUCT(F4:F6,H4:H6)/B7</f>
        <v>0.288833333333333</v>
      </c>
      <c r="H7" s="17"/>
    </row>
    <row r="9" customFormat="false" ht="15" hidden="false" customHeight="false" outlineLevel="0" collapsed="false">
      <c r="A9" s="21" t="s">
        <v>26</v>
      </c>
      <c r="B9" s="22" t="n">
        <f aca="false">B7</f>
        <v>300000</v>
      </c>
      <c r="F9" s="23" t="n">
        <f aca="false">F7</f>
        <v>187</v>
      </c>
      <c r="G9" s="24" t="n">
        <f aca="false">G7</f>
        <v>0.288833333333333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27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5" t="s">
        <v>28</v>
      </c>
      <c r="B2" s="25"/>
      <c r="C2" s="25"/>
      <c r="D2" s="25"/>
      <c r="E2" s="25"/>
      <c r="F2" s="25"/>
      <c r="G2" s="25"/>
    </row>
    <row r="4" customFormat="false" ht="26.85" hidden="false" customHeight="false" outlineLevel="0" collapsed="false">
      <c r="A4" s="10" t="s">
        <v>29</v>
      </c>
      <c r="B4" s="10" t="s">
        <v>16</v>
      </c>
      <c r="C4" s="10" t="s">
        <v>17</v>
      </c>
      <c r="D4" s="10" t="s">
        <v>18</v>
      </c>
      <c r="E4" s="10" t="s">
        <v>19</v>
      </c>
      <c r="F4" s="10" t="s">
        <v>30</v>
      </c>
      <c r="G4" s="10" t="s">
        <v>31</v>
      </c>
    </row>
    <row r="5" customFormat="false" ht="15" hidden="false" customHeight="false" outlineLevel="0" collapsed="false">
      <c r="A5" s="11" t="s">
        <v>32</v>
      </c>
      <c r="B5" s="11" t="n">
        <v>130000</v>
      </c>
      <c r="C5" s="13" t="n">
        <v>3100</v>
      </c>
      <c r="D5" s="14" t="n">
        <f aca="false">C5/B5</f>
        <v>0.0238461538461538</v>
      </c>
      <c r="E5" s="13" t="n">
        <v>78</v>
      </c>
      <c r="F5" s="14" t="n">
        <f aca="false">E5/C5</f>
        <v>0.0251612903225806</v>
      </c>
      <c r="G5" s="26" t="str">
        <f aca="false">IF(F5&gt;F6,"✅ Winner","")</f>
        <v/>
      </c>
    </row>
    <row r="6" customFormat="false" ht="15" hidden="false" customHeight="false" outlineLevel="0" collapsed="false">
      <c r="A6" s="11" t="s">
        <v>33</v>
      </c>
      <c r="B6" s="11" t="n">
        <v>130000</v>
      </c>
      <c r="C6" s="13" t="n">
        <v>3650</v>
      </c>
      <c r="D6" s="14" t="n">
        <f aca="false">C6/B6</f>
        <v>0.0280769230769231</v>
      </c>
      <c r="E6" s="13" t="n">
        <v>121</v>
      </c>
      <c r="F6" s="14" t="n">
        <f aca="false">E6/C6</f>
        <v>0.0331506849315069</v>
      </c>
      <c r="G6" s="26" t="str">
        <f aca="false">IF(F6&gt;F5,"✅ Winner","")</f>
        <v>✅ Winner</v>
      </c>
    </row>
    <row r="8" customFormat="false" ht="27.75" hidden="false" customHeight="true" outlineLevel="0" collapsed="false">
      <c r="A8" s="3" t="s">
        <v>34</v>
      </c>
      <c r="B8" s="4" t="s">
        <v>35</v>
      </c>
      <c r="C8" s="4"/>
      <c r="D8" s="4"/>
      <c r="E8" s="4"/>
      <c r="F8" s="4"/>
      <c r="G8" s="4"/>
    </row>
  </sheetData>
  <mergeCells count="3">
    <mergeCell ref="A1:G1"/>
    <mergeCell ref="A2:G2"/>
    <mergeCell ref="B8:G8"/>
  </mergeCells>
  <conditionalFormatting sqref="A5:G6">
    <cfRule type="expression" priority="2" aboveAverage="0" equalAverage="0" bottom="0" percent="0" rank="0" text="" dxfId="0">
      <formula>ISNUMBER(SEARCH("✅",$G5))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36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5" t="s">
        <v>37</v>
      </c>
      <c r="B2" s="25"/>
      <c r="C2" s="25"/>
      <c r="D2" s="25"/>
      <c r="E2" s="25"/>
      <c r="F2" s="25"/>
      <c r="G2" s="25"/>
    </row>
    <row r="4" customFormat="false" ht="26.85" hidden="false" customHeight="false" outlineLevel="0" collapsed="false">
      <c r="A4" s="10" t="s">
        <v>14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</row>
    <row r="5" customFormat="false" ht="15" hidden="false" customHeight="false" outlineLevel="0" collapsed="false">
      <c r="A5" s="11" t="s">
        <v>22</v>
      </c>
      <c r="B5" s="12" t="n">
        <v>120000</v>
      </c>
      <c r="C5" s="16" t="n">
        <v>150000</v>
      </c>
      <c r="D5" s="27" t="n">
        <f aca="false">(C5-B5)/B5</f>
        <v>0.25</v>
      </c>
      <c r="E5" s="15" t="n">
        <f aca="false">Platform_Summary!G4</f>
        <v>0.329666666666667</v>
      </c>
      <c r="F5" s="15" t="n">
        <f aca="false">E5*1.05</f>
        <v>0.34615</v>
      </c>
      <c r="G5" s="28" t="n">
        <f aca="false">(C5*F5)/Platform_Summary!H4</f>
        <v>120.75</v>
      </c>
    </row>
    <row r="6" customFormat="false" ht="15" hidden="false" customHeight="false" outlineLevel="0" collapsed="false">
      <c r="A6" s="11" t="s">
        <v>23</v>
      </c>
      <c r="B6" s="12" t="n">
        <v>100000</v>
      </c>
      <c r="C6" s="16" t="n">
        <v>100000</v>
      </c>
      <c r="D6" s="27" t="n">
        <f aca="false">(C6-B6)/B6</f>
        <v>0</v>
      </c>
      <c r="E6" s="15" t="n">
        <f aca="false">Platform_Summary!G5</f>
        <v>0.3111</v>
      </c>
      <c r="F6" s="15" t="n">
        <f aca="false">E6</f>
        <v>0.3111</v>
      </c>
      <c r="G6" s="28" t="n">
        <f aca="false">(C6*F6)/Platform_Summary!H5</f>
        <v>61</v>
      </c>
    </row>
    <row r="7" customFormat="false" ht="15" hidden="false" customHeight="false" outlineLevel="0" collapsed="false">
      <c r="A7" s="11" t="s">
        <v>24</v>
      </c>
      <c r="B7" s="12" t="n">
        <v>80000</v>
      </c>
      <c r="C7" s="16" t="n">
        <v>50000</v>
      </c>
      <c r="D7" s="27" t="n">
        <f aca="false">(C7-B7)/B7</f>
        <v>-0.375</v>
      </c>
      <c r="E7" s="15" t="n">
        <f aca="false">Platform_Summary!G6</f>
        <v>0.19975</v>
      </c>
      <c r="F7" s="15" t="n">
        <f aca="false">E7*1.6</f>
        <v>0.3196</v>
      </c>
      <c r="G7" s="28" t="n">
        <f aca="false">(C7*F7)/Platform_Summary!H6</f>
        <v>34</v>
      </c>
    </row>
    <row r="8" customFormat="false" ht="15" hidden="false" customHeight="false" outlineLevel="0" collapsed="false">
      <c r="A8" s="17" t="s">
        <v>44</v>
      </c>
      <c r="B8" s="18" t="n">
        <f aca="false">SUM(B5:B7)</f>
        <v>300000</v>
      </c>
      <c r="C8" s="18" t="n">
        <f aca="false">SUM(C5:C7)</f>
        <v>300000</v>
      </c>
      <c r="D8" s="17"/>
      <c r="E8" s="17"/>
      <c r="F8" s="17"/>
      <c r="G8" s="29" t="n">
        <f aca="false">SUM(G5:G7)</f>
        <v>215.75</v>
      </c>
    </row>
    <row r="9" customFormat="false" ht="15" hidden="false" customHeight="false" outlineLevel="0" collapsed="false">
      <c r="A9" s="21" t="s">
        <v>45</v>
      </c>
      <c r="G9" s="24" t="n">
        <f aca="false">SUMPRODUCT(C5:C7,F5:F7)/C8</f>
        <v>0.330041666666667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46</v>
      </c>
      <c r="B1" s="1"/>
      <c r="C1" s="1"/>
      <c r="D1" s="1"/>
      <c r="E1" s="1"/>
      <c r="F1" s="1"/>
    </row>
    <row r="3" customFormat="false" ht="49.5" hidden="false" customHeight="true" outlineLevel="0" collapsed="false">
      <c r="A3" s="3" t="s">
        <v>47</v>
      </c>
      <c r="B3" s="30" t="s">
        <v>48</v>
      </c>
      <c r="C3" s="30"/>
      <c r="D3" s="30"/>
      <c r="E3" s="30"/>
      <c r="F3" s="30"/>
    </row>
    <row r="5" customFormat="false" ht="49.5" hidden="false" customHeight="true" outlineLevel="0" collapsed="false">
      <c r="A5" s="3" t="s">
        <v>49</v>
      </c>
      <c r="B5" s="30" t="s">
        <v>50</v>
      </c>
      <c r="C5" s="30"/>
      <c r="D5" s="30"/>
      <c r="E5" s="30"/>
      <c r="F5" s="30"/>
    </row>
    <row r="7" customFormat="false" ht="49.5" hidden="false" customHeight="true" outlineLevel="0" collapsed="false">
      <c r="A7" s="3" t="s">
        <v>51</v>
      </c>
      <c r="B7" s="30" t="s">
        <v>52</v>
      </c>
      <c r="C7" s="30"/>
      <c r="D7" s="30"/>
      <c r="E7" s="30"/>
      <c r="F7" s="30"/>
    </row>
    <row r="9" customFormat="false" ht="49.5" hidden="false" customHeight="true" outlineLevel="0" collapsed="false">
      <c r="A9" s="3" t="s">
        <v>53</v>
      </c>
      <c r="B9" s="30" t="s">
        <v>54</v>
      </c>
      <c r="C9" s="30"/>
      <c r="D9" s="30"/>
      <c r="E9" s="30"/>
      <c r="F9" s="30"/>
    </row>
    <row r="11" customFormat="false" ht="49.5" hidden="false" customHeight="true" outlineLevel="0" collapsed="false">
      <c r="A11" s="3" t="s">
        <v>55</v>
      </c>
      <c r="B11" s="30" t="s">
        <v>56</v>
      </c>
      <c r="C11" s="30"/>
      <c r="D11" s="30"/>
      <c r="E11" s="30"/>
      <c r="F11" s="30"/>
    </row>
    <row r="14" customFormat="false" ht="15" hidden="false" customHeight="false" outlineLevel="0" collapsed="false">
      <c r="A14" s="31" t="s">
        <v>57</v>
      </c>
      <c r="B14" s="31"/>
      <c r="C14" s="31"/>
      <c r="D14" s="31"/>
      <c r="E14" s="31"/>
      <c r="F14" s="31"/>
    </row>
    <row r="15" customFormat="false" ht="84.75" hidden="false" customHeight="true" outlineLevel="0" collapsed="false">
      <c r="A15" s="30" t="s">
        <v>58</v>
      </c>
      <c r="B15" s="30"/>
      <c r="C15" s="30"/>
      <c r="D15" s="30"/>
      <c r="E15" s="30"/>
      <c r="F15" s="30"/>
    </row>
    <row r="16" customFormat="false" ht="15" hidden="false" customHeight="false" outlineLevel="0" collapsed="false">
      <c r="A16" s="30"/>
      <c r="B16" s="30"/>
      <c r="C16" s="30"/>
      <c r="D16" s="30"/>
      <c r="E16" s="30"/>
      <c r="F16" s="30"/>
    </row>
    <row r="17" customFormat="false" ht="15" hidden="false" customHeight="false" outlineLevel="0" collapsed="false">
      <c r="A17" s="30"/>
      <c r="B17" s="30"/>
      <c r="C17" s="30"/>
      <c r="D17" s="30"/>
      <c r="E17" s="30"/>
      <c r="F17" s="30"/>
    </row>
    <row r="18" customFormat="false" ht="15" hidden="false" customHeight="false" outlineLevel="0" collapsed="false">
      <c r="A18" s="30"/>
      <c r="B18" s="30"/>
      <c r="C18" s="30"/>
      <c r="D18" s="30"/>
      <c r="E18" s="30"/>
      <c r="F18" s="30"/>
    </row>
  </sheetData>
  <mergeCells count="8">
    <mergeCell ref="A1:F1"/>
    <mergeCell ref="B3:F3"/>
    <mergeCell ref="B5:F5"/>
    <mergeCell ref="B7:F7"/>
    <mergeCell ref="B9:F9"/>
    <mergeCell ref="B11:F11"/>
    <mergeCell ref="A14:F14"/>
    <mergeCell ref="A15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2026-06-29T08:43:49Z</dcterms:created>
  <dc:creator>openpyxl</dc:creator>
  <dc:description/>
  <dc:language>en-US</dc:language>
  <cp:lastModifiedBy/>
  <dcterms:modified xsi:type="dcterms:W3CDTF">2026-06-29T08:43:51Z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